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47c775a8d92ee1/桌面/UCL coursework/Structures-Coursework/output/spreadsheet/"/>
    </mc:Choice>
  </mc:AlternateContent>
  <xr:revisionPtr revIDLastSave="52" documentId="8_{3B2F469E-7973-4748-B7A6-C4B71643833A}" xr6:coauthVersionLast="47" xr6:coauthVersionMax="47" xr10:uidLastSave="{5A5649C9-3A7E-4B83-9961-540B8AD61453}"/>
  <bookViews>
    <workbookView minimized="1" xWindow="1920" yWindow="1920" windowWidth="17280" windowHeight="9960" activeTab="2" xr2:uid="{DB810863-6A6F-4CA8-B427-737520E43043}"/>
  </bookViews>
  <sheets>
    <sheet name="Instructions" sheetId="3" r:id="rId1"/>
    <sheet name="Table 2" sheetId="2" r:id="rId2"/>
    <sheet name="Sheet1" sheetId="5" r:id="rId3"/>
    <sheet name="Table 3" sheetId="1" r:id="rId4"/>
  </sheets>
  <definedNames>
    <definedName name="_xlnm.Print_Area" localSheetId="0">Instructions!$A$1:$F$7</definedName>
    <definedName name="_xlnm.Print_Area" localSheetId="1">'Table 2'!$A$1:$K$6</definedName>
    <definedName name="_xlnm.Print_Area" localSheetId="3">'Table 3'!$A$1:$E$8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5" l="1"/>
  <c r="H7" i="5"/>
  <c r="F7" i="5"/>
  <c r="D7" i="5"/>
  <c r="J6" i="5"/>
  <c r="H6" i="5"/>
  <c r="F6" i="5"/>
  <c r="D6" i="5"/>
  <c r="J5" i="5"/>
  <c r="H5" i="5"/>
  <c r="F5" i="5"/>
  <c r="D5" i="5"/>
  <c r="J4" i="5"/>
  <c r="H4" i="5"/>
  <c r="F4" i="5"/>
  <c r="D4" i="5"/>
  <c r="E4" i="2"/>
  <c r="D8" i="1"/>
  <c r="D7" i="1"/>
  <c r="D6" i="1"/>
  <c r="D5" i="1"/>
  <c r="D4" i="1"/>
  <c r="K6" i="2"/>
  <c r="K5" i="2"/>
  <c r="K4" i="2"/>
  <c r="I6" i="2"/>
  <c r="I5" i="2"/>
  <c r="I4" i="2"/>
  <c r="G6" i="2"/>
  <c r="G5" i="2"/>
  <c r="G4" i="2"/>
  <c r="E6" i="2"/>
  <c r="E5" i="2"/>
</calcChain>
</file>

<file path=xl/sharedStrings.xml><?xml version="1.0" encoding="utf-8"?>
<sst xmlns="http://schemas.openxmlformats.org/spreadsheetml/2006/main" count="52" uniqueCount="36">
  <si>
    <t>Editable workbook for report Table 2 and Table 3</t>
  </si>
  <si>
    <t>Blue cells are intended for editable numeric inputs.</t>
  </si>
  <si>
    <t>Percentage cells update automatically from formulas.</t>
  </si>
  <si>
    <t>Table 2 percentages are absolute change relative to Mesh 3.</t>
  </si>
  <si>
    <t>Table 3 relative change is calculated as (Full Frame - Arch Only) / Arch Only.</t>
  </si>
  <si>
    <t>For non-comparable quantities in Table 3, leave Arch Only blank or set it to 0.</t>
  </si>
  <si>
    <t>Table 2: Influence of Arch Mesh Density on Key Global Responses</t>
  </si>
  <si>
    <t>Source values taken from the current report table. Edit the blue cells as needed.</t>
  </si>
  <si>
    <t>Mesh</t>
  </si>
  <si>
    <t>Arch Elements</t>
  </si>
  <si>
    <t>DoF</t>
  </si>
  <si>
    <t>Arch Defl. (mm)</t>
  </si>
  <si>
    <t>Abs Change vs Mesh 3</t>
  </si>
  <si>
    <t>Tie Force (kN)</t>
  </si>
  <si>
    <t>Arch Mid BM (kNm)</t>
  </si>
  <si>
    <t>Tusk-Arch BM (kNm)</t>
  </si>
  <si>
    <t>Mesh 1</t>
  </si>
  <si>
    <t>Mesh 2</t>
  </si>
  <si>
    <t>Mesh 3</t>
  </si>
  <si>
    <t>Table 3: Comparison Between Prestressing Assumptions</t>
  </si>
  <si>
    <t>Relative change updates automatically when both model values are numeric and Arch Only is non-zero.</t>
  </si>
  <si>
    <t>Response Quantity</t>
  </si>
  <si>
    <t>Arch Only Before Lift</t>
  </si>
  <si>
    <t>Full Frame After Erection</t>
  </si>
  <si>
    <t>Relative Change</t>
  </si>
  <si>
    <t>Notes</t>
  </si>
  <si>
    <t>Maximum vertical displacement (mm)</t>
  </si>
  <si>
    <t>Central arch bending moment (kNm)</t>
  </si>
  <si>
    <t>Tusk-arch connection bending moment (kNm)</t>
  </si>
  <si>
    <t>Currently treated as not comparable</t>
  </si>
  <si>
    <t>High tie force (kN)</t>
  </si>
  <si>
    <t>Horizontal reaction at supports (kN)</t>
  </si>
  <si>
    <t>Arch-only value not available in current report</t>
  </si>
  <si>
    <t xml:space="preserve">Table 2: Influence of mesh density </t>
  </si>
  <si>
    <t>element number</t>
  </si>
  <si>
    <t>Mesh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</si>
</sst>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64" fontId="0" fillId="2" borderId="1" xfId="0" applyNumberFormat="1" applyFill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0" fontId="2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38EA6-E157-402B-B712-8F192B98B89F}">
  <sheetPr>
    <pageSetUpPr fitToPage="1"/>
  </sheetPr>
  <dimension ref="A1:F7"/>
  <sheetViews>
    <sheetView workbookViewId="0">
      <pane ySplit="3" topLeftCell="A4" activePane="bottomLeft" state="frozenSplit"/>
      <selection pane="bottomLeft" sqref="A1:F1"/>
    </sheetView>
  </sheetViews>
  <sheetFormatPr defaultRowHeight="14.4" x14ac:dyDescent="0.3"/>
  <cols>
    <col min="1" max="6" width="22.77734375" customWidth="1"/>
  </cols>
  <sheetData>
    <row r="1" spans="1:6" ht="18" x14ac:dyDescent="0.35">
      <c r="A1" s="6" t="s">
        <v>0</v>
      </c>
      <c r="B1" s="6"/>
      <c r="C1" s="6"/>
      <c r="D1" s="6"/>
      <c r="E1" s="6"/>
      <c r="F1" s="6"/>
    </row>
    <row r="3" spans="1:6" x14ac:dyDescent="0.3">
      <c r="A3" t="s">
        <v>1</v>
      </c>
    </row>
    <row r="4" spans="1:6" x14ac:dyDescent="0.3">
      <c r="A4" t="s">
        <v>2</v>
      </c>
    </row>
    <row r="5" spans="1:6" x14ac:dyDescent="0.3">
      <c r="A5" t="s">
        <v>3</v>
      </c>
    </row>
    <row r="6" spans="1:6" x14ac:dyDescent="0.3">
      <c r="A6" t="s">
        <v>4</v>
      </c>
    </row>
    <row r="7" spans="1:6" x14ac:dyDescent="0.3">
      <c r="A7" t="s">
        <v>5</v>
      </c>
    </row>
  </sheetData>
  <mergeCells count="1">
    <mergeCell ref="A1:F1"/>
  </mergeCells>
  <printOptions horizontalCentered="1"/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2569E-23BC-4914-86FB-9D563D9F078B}">
  <sheetPr>
    <pageSetUpPr fitToPage="1"/>
  </sheetPr>
  <dimension ref="A1:K6"/>
  <sheetViews>
    <sheetView workbookViewId="0">
      <selection sqref="A1:K6"/>
    </sheetView>
  </sheetViews>
  <sheetFormatPr defaultRowHeight="14.4" x14ac:dyDescent="0.3"/>
  <cols>
    <col min="1" max="1" width="14.77734375" customWidth="1"/>
    <col min="2" max="2" width="13.77734375" customWidth="1"/>
    <col min="3" max="3" width="9.77734375" customWidth="1"/>
    <col min="4" max="4" width="14.77734375" customWidth="1"/>
    <col min="5" max="5" width="17.77734375" customWidth="1"/>
    <col min="6" max="6" width="13.77734375" customWidth="1"/>
    <col min="7" max="7" width="17.77734375" customWidth="1"/>
    <col min="8" max="8" width="15.77734375" customWidth="1"/>
    <col min="9" max="9" width="17.77734375" customWidth="1"/>
    <col min="10" max="10" width="15.77734375" customWidth="1"/>
    <col min="11" max="11" width="17.77734375" customWidth="1"/>
  </cols>
  <sheetData>
    <row r="1" spans="1:11" ht="24" customHeight="1" x14ac:dyDescent="0.35">
      <c r="A1" s="6" t="s">
        <v>6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24" customHeight="1" x14ac:dyDescent="0.3">
      <c r="A2" s="7" t="s">
        <v>7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24" customHeight="1" x14ac:dyDescent="0.3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12</v>
      </c>
      <c r="H3" s="1" t="s">
        <v>14</v>
      </c>
      <c r="I3" s="1" t="s">
        <v>12</v>
      </c>
      <c r="J3" s="1" t="s">
        <v>15</v>
      </c>
      <c r="K3" s="1" t="s">
        <v>12</v>
      </c>
    </row>
    <row r="4" spans="1:11" ht="24" customHeight="1" x14ac:dyDescent="0.3">
      <c r="A4" s="2" t="s">
        <v>16</v>
      </c>
      <c r="B4" s="3">
        <v>14</v>
      </c>
      <c r="C4" s="3">
        <v>53</v>
      </c>
      <c r="D4" s="4">
        <v>241.2</v>
      </c>
      <c r="E4" s="5">
        <f>IFERROR(ABS((D4-$D$6)/$D$6),"")</f>
        <v>0.3759269823160295</v>
      </c>
      <c r="F4" s="3">
        <v>9725</v>
      </c>
      <c r="G4" s="5">
        <f>IFERROR(ABS((F4-$F$6)/$F$6),"")</f>
        <v>4.3454935622317593E-2</v>
      </c>
      <c r="H4" s="4">
        <v>12760</v>
      </c>
      <c r="I4" s="5">
        <f>IFERROR(ABS((H4-$H$6)/$H$6),"")</f>
        <v>63.379414732593339</v>
      </c>
      <c r="J4" s="3">
        <v>4721</v>
      </c>
      <c r="K4" s="5">
        <f>IFERROR(ABS((J4-$J$6)/$J$6),"")</f>
        <v>0.19119410656158986</v>
      </c>
    </row>
    <row r="5" spans="1:11" ht="24" customHeight="1" x14ac:dyDescent="0.3">
      <c r="A5" s="2" t="s">
        <v>17</v>
      </c>
      <c r="B5" s="3">
        <v>16</v>
      </c>
      <c r="C5" s="3">
        <v>59</v>
      </c>
      <c r="D5" s="4">
        <v>175.7</v>
      </c>
      <c r="E5" s="5">
        <f>IFERROR(ABS((D5-$D$6)/$D$6),"")</f>
        <v>2.2818026240728879E-3</v>
      </c>
      <c r="F5" s="3">
        <v>9309</v>
      </c>
      <c r="G5" s="5">
        <f>IFERROR(ABS((F5-$F$6)/$F$6),"")</f>
        <v>1.1802575107296136E-3</v>
      </c>
      <c r="H5" s="4">
        <v>960.2</v>
      </c>
      <c r="I5" s="5">
        <f>IFERROR(ABS((H5-$H$6)/$H$6),"")</f>
        <v>3.8446014127144301</v>
      </c>
      <c r="J5" s="3">
        <v>5753</v>
      </c>
      <c r="K5" s="5">
        <f>IFERROR(ABS((J5-$J$6)/$J$6),"")</f>
        <v>1.4390954257323969E-2</v>
      </c>
    </row>
    <row r="6" spans="1:11" ht="24" customHeight="1" x14ac:dyDescent="0.3">
      <c r="A6" s="2" t="s">
        <v>18</v>
      </c>
      <c r="B6" s="3">
        <v>22</v>
      </c>
      <c r="C6" s="3">
        <v>77</v>
      </c>
      <c r="D6" s="4">
        <v>175.3</v>
      </c>
      <c r="E6" s="5">
        <f>IFERROR(ABS((D6-$D$6)/$D$6),"")</f>
        <v>0</v>
      </c>
      <c r="F6" s="3">
        <v>9320</v>
      </c>
      <c r="G6" s="5">
        <f>IFERROR(ABS((F6-$F$6)/$F$6),"")</f>
        <v>0</v>
      </c>
      <c r="H6" s="4">
        <v>198.2</v>
      </c>
      <c r="I6" s="5">
        <f>IFERROR(ABS((H6-$H$6)/$H$6),"")</f>
        <v>0</v>
      </c>
      <c r="J6" s="3">
        <v>5837</v>
      </c>
      <c r="K6" s="5">
        <f>IFERROR(ABS((J6-$J$6)/$J$6),"")</f>
        <v>0</v>
      </c>
    </row>
  </sheetData>
  <mergeCells count="2">
    <mergeCell ref="A1:K1"/>
    <mergeCell ref="A2:K2"/>
  </mergeCells>
  <printOptions horizontalCentered="1"/>
  <pageMargins left="0.7" right="0.7" top="0.75" bottom="0.75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F022A-498F-4E4A-8B0E-248E40B6E4FC}">
  <dimension ref="A1:J7"/>
  <sheetViews>
    <sheetView tabSelected="1" workbookViewId="0">
      <selection activeCell="K12" sqref="K12"/>
    </sheetView>
  </sheetViews>
  <sheetFormatPr defaultRowHeight="14.4" x14ac:dyDescent="0.3"/>
  <sheetData>
    <row r="1" spans="1:10" ht="18" x14ac:dyDescent="0.35">
      <c r="A1" s="6" t="s">
        <v>33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3">
      <c r="A2" s="7" t="s">
        <v>7</v>
      </c>
      <c r="B2" s="7"/>
      <c r="C2" s="7"/>
      <c r="D2" s="7"/>
      <c r="E2" s="7"/>
      <c r="F2" s="7"/>
      <c r="G2" s="7"/>
      <c r="H2" s="7"/>
      <c r="I2" s="7"/>
      <c r="J2" s="7"/>
    </row>
    <row r="3" spans="1:10" ht="43.2" x14ac:dyDescent="0.3">
      <c r="A3" s="1" t="s">
        <v>8</v>
      </c>
      <c r="B3" s="1" t="s">
        <v>34</v>
      </c>
      <c r="C3" s="1" t="s">
        <v>11</v>
      </c>
      <c r="D3" s="1" t="s">
        <v>12</v>
      </c>
      <c r="E3" s="1" t="s">
        <v>13</v>
      </c>
      <c r="F3" s="1" t="s">
        <v>12</v>
      </c>
      <c r="G3" s="1" t="s">
        <v>14</v>
      </c>
      <c r="H3" s="1" t="s">
        <v>12</v>
      </c>
      <c r="I3" s="1" t="s">
        <v>15</v>
      </c>
      <c r="J3" s="1" t="s">
        <v>12</v>
      </c>
    </row>
    <row r="4" spans="1:10" x14ac:dyDescent="0.3">
      <c r="A4" s="2" t="s">
        <v>16</v>
      </c>
      <c r="B4" s="3">
        <v>50</v>
      </c>
      <c r="C4" s="4">
        <v>22.4</v>
      </c>
      <c r="D4" s="5">
        <f>IFERROR(ABS((C4-$C$6)/$C$6),"")</f>
        <v>0.91050739113064316</v>
      </c>
      <c r="E4" s="3">
        <v>7521</v>
      </c>
      <c r="F4" s="5">
        <f>IFERROR(ABS((E4-$E$6)/$E$6),"")</f>
        <v>0.36102062975027144</v>
      </c>
      <c r="G4" s="4">
        <v>12760</v>
      </c>
      <c r="H4" s="5">
        <f>IFERROR(ABS((G4-$G$6)/$G$6),"")</f>
        <v>0.51959032987971898</v>
      </c>
      <c r="I4" s="3">
        <v>4721</v>
      </c>
      <c r="J4" s="5">
        <f>IFERROR(ABS((I4-$I$6)/$I$6),"")</f>
        <v>0.77846081651806665</v>
      </c>
    </row>
    <row r="5" spans="1:10" x14ac:dyDescent="0.3">
      <c r="A5" s="2" t="s">
        <v>17</v>
      </c>
      <c r="B5" s="3">
        <v>103</v>
      </c>
      <c r="C5" s="4">
        <v>188.6</v>
      </c>
      <c r="D5" s="5">
        <f>IFERROR(ABS((C5-$C$6)/$C$6),"")</f>
        <v>0.24650419496604081</v>
      </c>
      <c r="E5" s="3">
        <v>6071</v>
      </c>
      <c r="F5" s="5">
        <f>IFERROR(ABS((E5-$E$6)/$E$6),"")</f>
        <v>9.8624683315237063E-2</v>
      </c>
      <c r="G5" s="4">
        <v>2952</v>
      </c>
      <c r="H5" s="5">
        <f>IFERROR(ABS((G5-$G$6)/$G$6),"")</f>
        <v>0.64844587352625938</v>
      </c>
      <c r="I5" s="3">
        <v>14390</v>
      </c>
      <c r="J5" s="5">
        <f>IFERROR(ABS((I5-$I$6)/$I$6),"")</f>
        <v>0.32473017362740497</v>
      </c>
    </row>
    <row r="6" spans="1:10" x14ac:dyDescent="0.3">
      <c r="A6" s="2" t="s">
        <v>18</v>
      </c>
      <c r="B6" s="3">
        <v>180</v>
      </c>
      <c r="C6" s="4">
        <v>250.3</v>
      </c>
      <c r="D6" s="5">
        <f>IFERROR(ABS((C6-$C$6)/$C$6),"")</f>
        <v>0</v>
      </c>
      <c r="E6" s="3">
        <v>5526</v>
      </c>
      <c r="F6" s="5">
        <f>IFERROR(ABS((E6-$E$6)/$E$6),"")</f>
        <v>0</v>
      </c>
      <c r="G6" s="4">
        <v>8397</v>
      </c>
      <c r="H6" s="5">
        <f>IFERROR(ABS((G6-$G$6)/$G$6),"")</f>
        <v>0</v>
      </c>
      <c r="I6" s="3">
        <v>21310</v>
      </c>
      <c r="J6" s="5">
        <f>IFERROR(ABS((I6-$I$6)/$I$6),"")</f>
        <v>0</v>
      </c>
    </row>
    <row r="7" spans="1:10" x14ac:dyDescent="0.3">
      <c r="A7" s="2" t="s">
        <v>35</v>
      </c>
      <c r="B7" s="3">
        <v>180</v>
      </c>
      <c r="C7" s="4">
        <v>250.3</v>
      </c>
      <c r="D7" s="5">
        <f>IFERROR(ABS((C7-$C$6)/$C$6),"")</f>
        <v>0</v>
      </c>
      <c r="E7" s="3">
        <v>9320</v>
      </c>
      <c r="F7" s="5">
        <f>IFERROR(ABS((E7-$E$6)/$E$6),"")</f>
        <v>0.68657256605139338</v>
      </c>
      <c r="G7" s="4">
        <v>198.2</v>
      </c>
      <c r="H7" s="5">
        <f>IFERROR(ABS((G7-$G$6)/$G$6),"")</f>
        <v>0.97639633202334153</v>
      </c>
      <c r="I7" s="3">
        <v>5837</v>
      </c>
      <c r="J7" s="5">
        <f>IFERROR(ABS((I7-$I$6)/$I$6),"")</f>
        <v>0.72609103707179723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C4DFB-C17E-4F05-8494-A29E2ED3DB3B}">
  <sheetPr>
    <pageSetUpPr fitToPage="1"/>
  </sheetPr>
  <dimension ref="A1:E8"/>
  <sheetViews>
    <sheetView workbookViewId="0">
      <selection sqref="A1:E1"/>
    </sheetView>
  </sheetViews>
  <sheetFormatPr defaultRowHeight="14.4" x14ac:dyDescent="0.3"/>
  <cols>
    <col min="1" max="1" width="34.77734375" customWidth="1"/>
    <col min="2" max="2" width="18.77734375" customWidth="1"/>
    <col min="3" max="3" width="20.77734375" customWidth="1"/>
    <col min="4" max="4" width="16.77734375" customWidth="1"/>
    <col min="5" max="5" width="30.77734375" customWidth="1"/>
  </cols>
  <sheetData>
    <row r="1" spans="1:5" ht="24" customHeight="1" x14ac:dyDescent="0.35">
      <c r="A1" s="6" t="s">
        <v>19</v>
      </c>
      <c r="B1" s="6"/>
      <c r="C1" s="6"/>
      <c r="D1" s="6"/>
      <c r="E1" s="6"/>
    </row>
    <row r="2" spans="1:5" ht="24" customHeight="1" x14ac:dyDescent="0.3">
      <c r="A2" s="7" t="s">
        <v>20</v>
      </c>
      <c r="B2" s="7"/>
      <c r="C2" s="7"/>
      <c r="D2" s="7"/>
      <c r="E2" s="7"/>
    </row>
    <row r="3" spans="1:5" ht="24" customHeight="1" x14ac:dyDescent="0.3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</row>
    <row r="4" spans="1:5" ht="24" customHeight="1" x14ac:dyDescent="0.3">
      <c r="A4" s="2" t="s">
        <v>26</v>
      </c>
      <c r="B4" s="4">
        <v>213.3</v>
      </c>
      <c r="C4" s="4">
        <v>175.3</v>
      </c>
      <c r="D4" s="5">
        <f>IF(OR(B4="",C4="",B4=0),"Not comparable",(C4-B4)/B4)</f>
        <v>-0.17815283638068447</v>
      </c>
      <c r="E4" s="2"/>
    </row>
    <row r="5" spans="1:5" ht="24" customHeight="1" x14ac:dyDescent="0.3">
      <c r="A5" s="2" t="s">
        <v>27</v>
      </c>
      <c r="B5" s="4">
        <v>4128</v>
      </c>
      <c r="C5" s="4">
        <v>198.2</v>
      </c>
      <c r="D5" s="5">
        <f>IF(OR(B5="",C5="",B5=0),"Not comparable",(C5-B5)/B5)</f>
        <v>-0.95198643410852712</v>
      </c>
      <c r="E5" s="2"/>
    </row>
    <row r="6" spans="1:5" ht="24" customHeight="1" x14ac:dyDescent="0.3">
      <c r="A6" s="2" t="s">
        <v>28</v>
      </c>
      <c r="B6" s="4"/>
      <c r="C6" s="4">
        <v>5837</v>
      </c>
      <c r="D6" s="5" t="str">
        <f>IF(OR(B6="",C6="",B6=0),"Not comparable",(C6-B6)/B6)</f>
        <v>Not comparable</v>
      </c>
      <c r="E6" s="2" t="s">
        <v>29</v>
      </c>
    </row>
    <row r="7" spans="1:5" ht="24" customHeight="1" x14ac:dyDescent="0.3">
      <c r="A7" s="2" t="s">
        <v>30</v>
      </c>
      <c r="B7" s="4">
        <v>11450</v>
      </c>
      <c r="C7" s="4">
        <v>9320</v>
      </c>
      <c r="D7" s="5">
        <f>IF(OR(B7="",C7="",B7=0),"Not comparable",(C7-B7)/B7)</f>
        <v>-0.18602620087336244</v>
      </c>
      <c r="E7" s="2"/>
    </row>
    <row r="8" spans="1:5" ht="24" customHeight="1" x14ac:dyDescent="0.3">
      <c r="A8" s="2" t="s">
        <v>31</v>
      </c>
      <c r="B8" s="4"/>
      <c r="C8" s="4">
        <v>3480</v>
      </c>
      <c r="D8" s="5" t="str">
        <f>IF(OR(B8="",C8="",B8=0),"Not comparable",(C8-B8)/B8)</f>
        <v>Not comparable</v>
      </c>
      <c r="E8" s="2" t="s">
        <v>32</v>
      </c>
    </row>
  </sheetData>
  <mergeCells count="2">
    <mergeCell ref="A1:E1"/>
    <mergeCell ref="A2:E2"/>
  </mergeCells>
  <printOptions horizontalCentere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Instructions</vt:lpstr>
      <vt:lpstr>Table 2</vt:lpstr>
      <vt:lpstr>Sheet1</vt:lpstr>
      <vt:lpstr>Table 3</vt:lpstr>
      <vt:lpstr>Instructions!Print_Area</vt:lpstr>
      <vt:lpstr>'Table 2'!Print_Area</vt:lpstr>
      <vt:lpstr>'Table 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Li</dc:creator>
  <cp:lastModifiedBy>Lisa Li</cp:lastModifiedBy>
  <dcterms:created xsi:type="dcterms:W3CDTF">2026-03-25T12:32:25Z</dcterms:created>
  <dcterms:modified xsi:type="dcterms:W3CDTF">2026-03-25T12:57:26Z</dcterms:modified>
</cp:coreProperties>
</file>